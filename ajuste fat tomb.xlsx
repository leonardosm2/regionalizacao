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ene\OneDrive\Área de Trabalho\regiao\"/>
    </mc:Choice>
  </mc:AlternateContent>
  <xr:revisionPtr revIDLastSave="0" documentId="8_{1C8C2725-85AE-48E4-97FA-311376E32E6D}" xr6:coauthVersionLast="47" xr6:coauthVersionMax="47" xr10:uidLastSave="{00000000-0000-0000-0000-000000000000}"/>
  <bookViews>
    <workbookView xWindow="20370" yWindow="-8160" windowWidth="38640" windowHeight="15720" xr2:uid="{BFDF1F5D-0800-4DF6-AF38-A62ACABAB1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G3" i="1"/>
  <c r="I2" i="1"/>
  <c r="H2" i="1"/>
  <c r="G2" i="1"/>
  <c r="H5" i="1" l="1"/>
  <c r="H6" i="1" s="1"/>
  <c r="I5" i="1"/>
  <c r="I6" i="1" s="1"/>
  <c r="G5" i="1"/>
  <c r="G6" i="1" s="1"/>
  <c r="J6" i="1" l="1"/>
  <c r="J5" i="1"/>
  <c r="H7" i="1" l="1"/>
  <c r="H9" i="1" s="1"/>
  <c r="G7" i="1"/>
  <c r="G9" i="1" s="1"/>
  <c r="I7" i="1"/>
  <c r="I9" i="1" s="1"/>
  <c r="J9" i="1" l="1"/>
  <c r="H10" i="1" a="1"/>
  <c r="H10" i="1" s="1"/>
  <c r="I10" i="1" a="1"/>
  <c r="I10" i="1" s="1"/>
  <c r="G10" i="1" a="1"/>
  <c r="G10" i="1" s="1"/>
  <c r="J10" i="1" l="1"/>
  <c r="C7" i="1" l="1"/>
  <c r="D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<sst xmlns="http://schemas.openxmlformats.org/spreadsheetml/2006/main" count="20" uniqueCount="14">
  <si>
    <t>MIX</t>
  </si>
  <si>
    <t>TARGET</t>
  </si>
  <si>
    <t>FAT ATUAL</t>
  </si>
  <si>
    <t>FAT NOVO</t>
  </si>
  <si>
    <t>DEB</t>
  </si>
  <si>
    <t>ROT</t>
  </si>
  <si>
    <t>PSJ</t>
  </si>
  <si>
    <t>ATUAL</t>
  </si>
  <si>
    <t>NOVO</t>
  </si>
  <si>
    <t>EXCESSO</t>
  </si>
  <si>
    <t>TOTAL</t>
  </si>
  <si>
    <t>AJUSTE</t>
  </si>
  <si>
    <t>AJUSTAR</t>
  </si>
  <si>
    <t>AUX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</si>
</sst>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&quot;R$&quot;\ * #,##0_-;\-&quot;R$&quot;\ * #,##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165" fontId="0" fillId="0" borderId="0" xfId="1" applyNumberFormat="1" applyFont="1"/>
    <xf numFmtId="9" fontId="0" fillId="0" borderId="0" xfId="2" applyFont="1"/>
    <xf numFmtId="165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49DD-4343-47B1-B668-BC5F6C03596C}">
  <dimension ref="A1:J10"/>
  <sheetViews>
    <sheetView tabSelected="1" workbookViewId="0">
      <selection activeCell="C2" sqref="C2"/>
    </sheetView>
  </sheetViews>
  <sheetFormatPr defaultRowHeight="15" x14ac:dyDescent="0.25"/>
  <cols>
    <col min="1" max="1" width="10" bestFit="1" customWidth="1"/>
    <col min="2" max="2" width="14.28515625" bestFit="1" customWidth="1"/>
    <col min="6" max="6" width="10.42578125" bestFit="1" customWidth="1"/>
    <col min="7" max="9" width="11.5703125" bestFit="1" customWidth="1"/>
    <col min="10" max="10" width="14.28515625" bestFit="1" customWidth="1"/>
  </cols>
  <sheetData>
    <row r="1" spans="1:10" x14ac:dyDescent="0.25">
      <c r="A1" t="s">
        <v>2</v>
      </c>
      <c r="B1" s="2">
        <v>500000</v>
      </c>
      <c r="G1" t="s">
        <v>4</v>
      </c>
      <c r="H1" t="s">
        <v>5</v>
      </c>
      <c r="I1" t="s">
        <v>6</v>
      </c>
      <c r="J1" t="s">
        <v>10</v>
      </c>
    </row>
    <row r="2" spans="1:10" x14ac:dyDescent="0.25">
      <c r="A2" t="s">
        <v>3</v>
      </c>
      <c r="B2" s="2">
        <v>300000</v>
      </c>
      <c r="F2" t="s">
        <v>7</v>
      </c>
      <c r="G2" s="4">
        <f>B5*$B1</f>
        <v>350000</v>
      </c>
      <c r="H2" s="4">
        <f>C5*$B1</f>
        <v>150000</v>
      </c>
      <c r="I2" s="4">
        <f>D5*$B1</f>
        <v>0</v>
      </c>
      <c r="J2" s="4"/>
    </row>
    <row r="3" spans="1:10" x14ac:dyDescent="0.25">
      <c r="F3" t="s">
        <v>1</v>
      </c>
      <c r="G3" s="4">
        <f>B6*$B2</f>
        <v>150000</v>
      </c>
      <c r="H3" s="4">
        <f>C6*$B2</f>
        <v>90000</v>
      </c>
      <c r="I3" s="4">
        <f>D6*$B2</f>
        <v>60000</v>
      </c>
      <c r="J3" s="4"/>
    </row>
    <row r="4" spans="1:10" x14ac:dyDescent="0.25">
      <c r="A4" t="s">
        <v>0</v>
      </c>
      <c r="B4" t="s">
        <v>4</v>
      </c>
      <c r="C4" t="s">
        <v>5</v>
      </c>
      <c r="D4" t="s">
        <v>6</v>
      </c>
    </row>
    <row r="5" spans="1:10" x14ac:dyDescent="0.25">
      <c r="A5" t="s">
        <v>7</v>
      </c>
      <c r="B5" s="1">
        <v>0.7</v>
      </c>
      <c r="C5" s="1">
        <v>0.3</v>
      </c>
      <c r="D5" s="1">
        <v>0</v>
      </c>
      <c r="F5" t="s">
        <v>9</v>
      </c>
      <c r="G5" s="4">
        <f>MAX(G2-G3,0)</f>
        <v>200000</v>
      </c>
      <c r="H5" s="4">
        <f>MAX(H2-H3,0)</f>
        <v>60000</v>
      </c>
      <c r="I5" s="4">
        <f>MAX(I2-I3,0)</f>
        <v>0</v>
      </c>
      <c r="J5" s="4">
        <f>SUM(G5:I5)</f>
        <v>260000</v>
      </c>
    </row>
    <row r="6" spans="1:10" x14ac:dyDescent="0.25">
      <c r="A6" t="s">
        <v>1</v>
      </c>
      <c r="B6" s="1">
        <v>0.5</v>
      </c>
      <c r="C6" s="1">
        <v>0.3</v>
      </c>
      <c r="D6" s="1">
        <v>0.2</v>
      </c>
      <c r="F6" t="s">
        <v>12</v>
      </c>
      <c r="G6" s="4">
        <f>G3*(G5=0)</f>
        <v>0</v>
      </c>
      <c r="H6" s="4">
        <f>H3*(H5=0)</f>
        <v>0</v>
      </c>
      <c r="I6" s="4">
        <f>I3*(I5=0)</f>
        <v>60000</v>
      </c>
      <c r="J6" s="4">
        <f>SUM(G6:I6)</f>
        <v>60000</v>
      </c>
    </row>
    <row r="7" spans="1:10" x14ac:dyDescent="0.25">
      <c r="A7" t="s">
        <v>8</v>
      </c>
      <c r="B7" s="3">
        <f>G10/$J$10</f>
        <v>0.7</v>
      </c>
      <c r="C7" s="3">
        <f t="shared" ref="C7:D7" si="0">H10/$J$10</f>
        <v>0.3</v>
      </c>
      <c r="D7" s="3">
        <f t="shared" si="0"/>
        <v>0</v>
      </c>
      <c r="F7" t="s">
        <v>11</v>
      </c>
      <c r="G7" s="4">
        <f>$J$5*G6/$J$6</f>
        <v>0</v>
      </c>
      <c r="H7" s="4">
        <f>$J$5*H6/$J$6</f>
        <v>0</v>
      </c>
      <c r="I7" s="4">
        <f>$J$5*I6/$J$6</f>
        <v>260000</v>
      </c>
      <c r="J7" s="4"/>
    </row>
    <row r="9" spans="1:10" x14ac:dyDescent="0.25">
      <c r="F9" t="s">
        <v>13</v>
      </c>
      <c r="G9" s="4">
        <f>G3+G5-G7</f>
        <v>350000</v>
      </c>
      <c r="H9" s="4">
        <f t="shared" ref="H9:I9" si="1">H3+H5-H7</f>
        <v>150000</v>
      </c>
      <c r="I9" s="4">
        <f t="shared" si="1"/>
        <v>-200000</v>
      </c>
      <c r="J9" s="4">
        <f>SUM(G9:I9)</f>
        <v>300000</v>
      </c>
    </row>
    <row r="10" spans="1:10" x14ac:dyDescent="0.25">
      <c r="F10" t="s">
        <v>8</v>
      </c>
      <c r="G10" s="4" cm="1">
        <f t="array" ref="G10">MAX(SUM($G$9:$I$9*($G$9:$I$9&lt;0))*G9/SUM($G$9:$I$9*($G$9:$I$9&gt;0))+G9,0)</f>
        <v>210000</v>
      </c>
      <c r="H10" s="4" cm="1">
        <f t="array" ref="H10">MAX(SUM($G$9:$I$9*($G$9:$I$9&lt;0))*H9/SUM($G$9:$I$9*($G$9:$I$9&gt;0))+H9,0)</f>
        <v>90000</v>
      </c>
      <c r="I10" s="4" cm="1">
        <f t="array" ref="I10">MAX(SUM($G$9:$I$9*($G$9:$I$9&lt;0))*I9/SUM($G$9:$I$9*($G$9:$I$9&gt;0))+I9,0)</f>
        <v>0</v>
      </c>
      <c r="J10" s="4">
        <f>SUM(G10:I10)</f>
        <v>300000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MENEZES</dc:creator>
  <cp:lastModifiedBy>LEONARDO MENEZES</cp:lastModifiedBy>
  <dcterms:created xsi:type="dcterms:W3CDTF">2026-03-30T01:15:41Z</dcterms:created>
  <dcterms:modified xsi:type="dcterms:W3CDTF">2026-03-30T01:57:22Z</dcterms:modified>
</cp:coreProperties>
</file>